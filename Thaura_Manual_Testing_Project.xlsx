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iyush_pranto\Downloads\"/>
    </mc:Choice>
  </mc:AlternateContent>
  <bookViews>
    <workbookView xWindow="0" yWindow="0" windowWidth="20490" windowHeight="7620" tabRatio="500"/>
  </bookViews>
  <sheets>
    <sheet name="Test Cases" sheetId="1" r:id="rId1"/>
    <sheet name="Summary" sheetId="2" r:id="rId2"/>
    <sheet name="Findings" sheetId="3" r:id="rId3"/>
  </sheets>
  <definedNames>
    <definedName name="_xlnm.Print_Titles" localSheetId="2">Findings!$1:$1</definedName>
    <definedName name="_xlnm.Print_Titles" localSheetId="0">'Test Cases'!$1:$1</definedName>
  </definedName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2" i="2" l="1"/>
  <c r="B22" i="2"/>
  <c r="C21" i="2"/>
  <c r="B21" i="2"/>
  <c r="C20" i="2"/>
  <c r="B20" i="2"/>
  <c r="C19" i="2"/>
  <c r="B19" i="2"/>
  <c r="C18" i="2"/>
  <c r="B18" i="2"/>
  <c r="C17" i="2"/>
  <c r="B17" i="2"/>
  <c r="B13" i="2"/>
  <c r="B12" i="2"/>
  <c r="B11" i="2"/>
  <c r="B10" i="2"/>
  <c r="B9" i="2"/>
  <c r="B8" i="2"/>
  <c r="B7" i="2"/>
</calcChain>
</file>

<file path=xl/sharedStrings.xml><?xml version="1.0" encoding="utf-8"?>
<sst xmlns="http://schemas.openxmlformats.org/spreadsheetml/2006/main" count="519" uniqueCount="323">
  <si>
    <t>Test ID</t>
  </si>
  <si>
    <t>Category</t>
  </si>
  <si>
    <t>Test Case</t>
  </si>
  <si>
    <t>Steps</t>
  </si>
  <si>
    <t>Expected Result</t>
  </si>
  <si>
    <t>Actual Result</t>
  </si>
  <si>
    <t>Status</t>
  </si>
  <si>
    <t>Severity</t>
  </si>
  <si>
    <t>Notes / Evidence</t>
  </si>
  <si>
    <t>TC-001</t>
  </si>
  <si>
    <t>Session Handling</t>
  </si>
  <si>
    <t>New Free-tier signup and login</t>
  </si>
  <si>
    <t>Create a new account with a test email; log in.</t>
  </si>
  <si>
    <t>Account created and authenticated successfully.</t>
  </si>
  <si>
    <t>Account created and logged in successfully (account owner performed signup directly).</t>
  </si>
  <si>
    <t>Pass</t>
  </si>
  <si>
    <t>N/A</t>
  </si>
  <si>
    <t>Performed by account owner; tester does not create accounts or enter passwords per operating policy.</t>
  </si>
  <si>
    <t>TC-002</t>
  </si>
  <si>
    <t>Session cookie is not readable via page JavaScript</t>
  </si>
  <si>
    <t>Attempt document.cookie read for the auth session from the page context.</t>
  </si>
  <si>
    <t>Auth cookie is HttpOnly / not exposed to JS (XSS mitigation).</t>
  </si>
  <si>
    <t>document.cookie returned a blocked/empty result for the session cookie.</t>
  </si>
  <si>
    <t>Good security practice.</t>
  </si>
  <si>
    <t>TC-003</t>
  </si>
  <si>
    <t>No auth token stored in localStorage</t>
  </si>
  <si>
    <t>Inspect localStorage keys after login.</t>
  </si>
  <si>
    <t>Only non-sensitive UI prefs present, no token.</t>
  </si>
  <si>
    <t>Only 'theme' and 'thaura-language' keys found.</t>
  </si>
  <si>
    <t>TC-004</t>
  </si>
  <si>
    <t>Concurrent session across multiple tabs</t>
  </si>
  <si>
    <t>Log in, open a 2nd tab to the same account, compare state.</t>
  </si>
  <si>
    <t>Account state (incl. quota) is shared/consistent across tabs.</t>
  </si>
  <si>
    <t>2nd tab showed identical exhausted-quota state and consistent reset countdown.</t>
  </si>
  <si>
    <t>TC-005</t>
  </si>
  <si>
    <t>Logout invalidates session</t>
  </si>
  <si>
    <t>Log out in one tab; check if other tabs/sessions are invalidated.</t>
  </si>
  <si>
    <t>Session should be invalidated on logout.</t>
  </si>
  <si>
    <t>Not tested this run.</t>
  </si>
  <si>
    <t>Not Tested</t>
  </si>
  <si>
    <t>Requires password re-entry to log back in, which the tester cannot perform; would end testing access for the session.</t>
  </si>
  <si>
    <t>TC-006</t>
  </si>
  <si>
    <t>Session/token expiry behavior</t>
  </si>
  <si>
    <t>Inspect cookie expiry / wait for natural expiry.</t>
  </si>
  <si>
    <t>Documented or observable expiry behavior.</t>
  </si>
  <si>
    <t>Cookie is HttpOnly so expiry attributes aren't inspectable from JS; needs server-side documentation or a long-duration test.</t>
  </si>
  <si>
    <t>TC-007</t>
  </si>
  <si>
    <t>Free-Tier Message Limit</t>
  </si>
  <si>
    <t>Send 5 messages within the free allowance</t>
  </si>
  <si>
    <t>Send 5 sequential chat messages on a fresh account.</t>
  </si>
  <si>
    <t>All 5 messages succeed.</t>
  </si>
  <si>
    <t>All 5 messages completed successfully (HTTP 200 each).</t>
  </si>
  <si>
    <t>TC-008</t>
  </si>
  <si>
    <t>6th message is blocked</t>
  </si>
  <si>
    <t>Send a 6th message immediately after 5 successful ones.</t>
  </si>
  <si>
    <t>Blocked with an upgrade/limit prompt before generation.</t>
  </si>
  <si>
    <t>Blocked pre-generation with 'Out of messages' dialog.</t>
  </si>
  <si>
    <t>Enforcement is exact at message #6.</t>
  </si>
  <si>
    <t>TC-009</t>
  </si>
  <si>
    <t>Determine rolling vs. fixed reset window</t>
  </si>
  <si>
    <t>Inspect resetAt value returned by the API after exhausting quota.</t>
  </si>
  <si>
    <t>Window type identified.</t>
  </si>
  <si>
    <t>Single shared resetAt for all 5 slots -&gt; consistent with a fixed window, not rolling.</t>
  </si>
  <si>
    <t>Caveat: all 5 messages sent within ~2 minutes, so this doesn't fully rule out a rolling window; a multi-hour-spaced test would be conclusive.</t>
  </si>
  <si>
    <t>TC-010</t>
  </si>
  <si>
    <t>Errored/failed response still consumes a quota slot?</t>
  </si>
  <si>
    <t>Force an error (e.g. stop generation, malformed request) within the 5-message budget and observe remaining count.</t>
  </si>
  <si>
    <t>Determine whether errors consume quota.</t>
  </si>
  <si>
    <t>Not tested — all 5 permitted messages this run completed successfully with no natural error.</t>
  </si>
  <si>
    <t>Recommended follow-up in next available window.</t>
  </si>
  <si>
    <t>TC-011</t>
  </si>
  <si>
    <t>Bypass attempt: multiple browser tabs</t>
  </si>
  <si>
    <t>After exhausting quota in tab 1, attempt to send a message from tab 2.</t>
  </si>
  <si>
    <t>Should still be blocked (no bypass).</t>
  </si>
  <si>
    <t>Blocked — same 'Out of messages' dialog with consistent countdown.</t>
  </si>
  <si>
    <t>No bypass found.</t>
  </si>
  <si>
    <t>TC-012</t>
  </si>
  <si>
    <t>Bypass attempt: session refresh / reload</t>
  </si>
  <si>
    <t>Reload the page after exhausting quota and attempt to send a message.</t>
  </si>
  <si>
    <t>Blocked — quota state reloads from server.</t>
  </si>
  <si>
    <t>TC-013</t>
  </si>
  <si>
    <t>Bypass attempt: direct API call with session cookie</t>
  </si>
  <si>
    <t>Call POST /v1/chat/completions directly via fetch(), bypassing the chat UI, using the authenticated session.</t>
  </si>
  <si>
    <t>HTTP 429 rate_limit_exceeded returned.</t>
  </si>
  <si>
    <t>Confirms server-side enforcement, not just a UI gate.</t>
  </si>
  <si>
    <t>TC-014</t>
  </si>
  <si>
    <t>Bypass attempt: Free-tier-linked Developer API key</t>
  </si>
  <si>
    <t>Create an API key on the same free-tier account and call the chat API with it.</t>
  </si>
  <si>
    <t>Should not grant extra free messages.</t>
  </si>
  <si>
    <t>Zero-balance key returns 402 insufficient_balance; API is a fully separate metered system.</t>
  </si>
  <si>
    <t>No bypass found; confirms Free chat quota and paid API are independent.</t>
  </si>
  <si>
    <t>TC-015</t>
  </si>
  <si>
    <t>File Upload Data Integrity</t>
  </si>
  <si>
    <t>Upload valid PDF — content extraction accuracy</t>
  </si>
  <si>
    <t>Attach and send a PDF with known text content; verify the assistant's reading of it matches.</t>
  </si>
  <si>
    <t>Assistant accurately reflects PDF content.</t>
  </si>
  <si>
    <t>Blocked</t>
  </si>
  <si>
    <t>Blocked by exhausted free-tier quota (attach-only stages a local blob; parsing happens on send).</t>
  </si>
  <si>
    <t>TC-016</t>
  </si>
  <si>
    <t>Upload valid spreadsheet (CSV) — content extraction accuracy</t>
  </si>
  <si>
    <t>Attach and send a CSV with known rows; verify accurate reading.</t>
  </si>
  <si>
    <t>Assistant accurately reflects CSV content.</t>
  </si>
  <si>
    <t>Same cause as TC-015.</t>
  </si>
  <si>
    <t>TC-017</t>
  </si>
  <si>
    <t>Upload valid image — content extraction accuracy</t>
  </si>
  <si>
    <t>Attach and send an image with known text; verify accurate reading.</t>
  </si>
  <si>
    <t>Assistant accurately reflects image content.</t>
  </si>
  <si>
    <t>TC-018</t>
  </si>
  <si>
    <t>Upload corrupted file</t>
  </si>
  <si>
    <t>Attach a corrupted PDF (random bytes) and send.</t>
  </si>
  <si>
    <t>Clear error, no silent failure.</t>
  </si>
  <si>
    <t>Attempted via Developer API attachments param instead (chat UI blocked); zero-balance key returned 402 before attachment was evaluated.</t>
  </si>
  <si>
    <t>Inconclusive with zero-balance key; needs funded key or quota reset.</t>
  </si>
  <si>
    <t>TC-019</t>
  </si>
  <si>
    <t>Upload password-protected PDF</t>
  </si>
  <si>
    <t>Attach a password-protected PDF and send.</t>
  </si>
  <si>
    <t>Clear error indicating the file is protected.</t>
  </si>
  <si>
    <t>Same as TC-018 — masked by 402 balance error.</t>
  </si>
  <si>
    <t>Needs funded key or quota reset.</t>
  </si>
  <si>
    <t>TC-020</t>
  </si>
  <si>
    <t>Upload empty (0-byte) file</t>
  </si>
  <si>
    <t>Attach a 0-byte file and send.</t>
  </si>
  <si>
    <t>Clear error, no silent failure / crash.</t>
  </si>
  <si>
    <t>TC-021</t>
  </si>
  <si>
    <t>Upload oversized file</t>
  </si>
  <si>
    <t>Attach a file above the platform's size limit and send.</t>
  </si>
  <si>
    <t>Clear 413/size-limit error.</t>
  </si>
  <si>
    <t>Documented limit found only for audio (50MB, API); general upload limit not yet confirmed.</t>
  </si>
  <si>
    <t>TC-022</t>
  </si>
  <si>
    <t>Cross-session / cross-account upload isolation</t>
  </si>
  <si>
    <t>Upload a file in one account/session; confirm it is not visible from an unrelated session or account.</t>
  </si>
  <si>
    <t>No leakage across sessions/accounts.</t>
  </si>
  <si>
    <t>Would require a second account; tester cannot create additional accounts itself.</t>
  </si>
  <si>
    <t>TC-023</t>
  </si>
  <si>
    <t>Memory vs Incognito</t>
  </si>
  <si>
    <t>Fact stored in normal mode retrievable in a new chat</t>
  </si>
  <si>
    <t>State a preference/fact in one chat; open a new unrelated chat and ask about it.</t>
  </si>
  <si>
    <t>Fact is recalled in the new chat.</t>
  </si>
  <si>
    <t>Blocked by exhausted free-tier quota (needs 2+ messages).</t>
  </si>
  <si>
    <t>TC-024</t>
  </si>
  <si>
    <t>Incognito chats do not persist to history</t>
  </si>
  <si>
    <t>Start an Incognito chat, send a message, check chat history list afterward.</t>
  </si>
  <si>
    <t>Incognito chat does not appear in history.</t>
  </si>
  <si>
    <t>Same cause as TC-023.</t>
  </si>
  <si>
    <t>TC-025</t>
  </si>
  <si>
    <t>Incognito chats do not leak into Memory</t>
  </si>
  <si>
    <t>State a fact in an Incognito chat; check the Memory panel afterward.</t>
  </si>
  <si>
    <t>Fact does not appear in Memory.</t>
  </si>
  <si>
    <t>TC-026</t>
  </si>
  <si>
    <t>User-facing memory controls exist</t>
  </si>
  <si>
    <t>Open Memory panel and its overflow menu.</t>
  </si>
  <si>
    <t>Controls exist to enable/disable and delete memory.</t>
  </si>
  <si>
    <t>'Enable memory' toggle and 'Delete and turn off memory' action both present; Memory panel currently empty as expected.</t>
  </si>
  <si>
    <t>TC-027</t>
  </si>
  <si>
    <t>Full server-side deletion claim</t>
  </si>
  <si>
    <t>Assess whether 'full server-side deletion' after delete/incognito can be verified.</t>
  </si>
  <si>
    <t>N/A — documented as a client-side testing limitation.</t>
  </si>
  <si>
    <t>Cannot be verified from the client side by design.</t>
  </si>
  <si>
    <t>Explicitly flagged rather than asserted either way, per original brief's own instruction.</t>
  </si>
  <si>
    <t>TC-028</t>
  </si>
  <si>
    <t>Developer API</t>
  </si>
  <si>
    <t>Missing Authorization header</t>
  </si>
  <si>
    <t>Call POST /v1/chat/completions with no Authorization header.</t>
  </si>
  <si>
    <t>401 unauthorized.</t>
  </si>
  <si>
    <t>401 unauthorized, matches documented schema.</t>
  </si>
  <si>
    <t>TC-029</t>
  </si>
  <si>
    <t>Malformed bearer token</t>
  </si>
  <si>
    <t>Call with 'Bearer not_a_real_key_12345'.</t>
  </si>
  <si>
    <t>TC-030</t>
  </si>
  <si>
    <t>Missing 'Bearer' prefix</t>
  </si>
  <si>
    <t>Call with the raw key value, no 'Bearer ' prefix.</t>
  </si>
  <si>
    <t>TC-031</t>
  </si>
  <si>
    <t>Empty bearer value</t>
  </si>
  <si>
    <t>Call with 'Authorization: Bearer ' (empty).</t>
  </si>
  <si>
    <t>TC-032</t>
  </si>
  <si>
    <t>Zero-balance API key</t>
  </si>
  <si>
    <t>Call with a valid key that has $0.00 balance.</t>
  </si>
  <si>
    <t>402 insufficient balance, per docs.</t>
  </si>
  <si>
    <t>402 insufficient_balance; message states 'Minimum required: $0.10'.</t>
  </si>
  <si>
    <t>The $0.10 minimum is not stated in the public docs — documentation gap.</t>
  </si>
  <si>
    <t>TC-033</t>
  </si>
  <si>
    <t>Missing required 'messages' field</t>
  </si>
  <si>
    <t>Call with an empty JSON body.</t>
  </si>
  <si>
    <t>400 invalid request.</t>
  </si>
  <si>
    <t>400 invalid_messages, even on a zero-balance key.</t>
  </si>
  <si>
    <t>Structural validation correctly runs before the balance check.</t>
  </si>
  <si>
    <t>TC-034</t>
  </si>
  <si>
    <t>Invalid 'model' value</t>
  </si>
  <si>
    <t>Call with model: 'gpt-4'.</t>
  </si>
  <si>
    <t>400 invalid_model, per docs.</t>
  </si>
  <si>
    <t>400 invalid_model.</t>
  </si>
  <si>
    <t>TC-035</t>
  </si>
  <si>
    <t>Rejected legacy 'functions' parameter</t>
  </si>
  <si>
    <t>Call with a 'functions' array in the body.</t>
  </si>
  <si>
    <t>400 unsupported_parameter, per docs.</t>
  </si>
  <si>
    <t>400 unsupported_parameter.</t>
  </si>
  <si>
    <t>TC-036</t>
  </si>
  <si>
    <t>GET /v1/models</t>
  </si>
  <si>
    <t>Call GET /v1/models with a valid (zero-balance) key.</t>
  </si>
  <si>
    <t>200, lists documented models.</t>
  </si>
  <si>
    <t>200; returns exactly 'thaura' and 'thaura-whisper'.</t>
  </si>
  <si>
    <t>No balance required for this metadata endpoint.</t>
  </si>
  <si>
    <t>TC-037</t>
  </si>
  <si>
    <t>temperature boundary (0.0–2.0)</t>
  </si>
  <si>
    <t>Call with temperature = 5.0 (out of documented range).</t>
  </si>
  <si>
    <t>400 invalid request, or documented clamping behavior.</t>
  </si>
  <si>
    <t>402 insufficient_balance returned instead — balance check appears to short-circuit before this validation.</t>
  </si>
  <si>
    <t>Needs a funded key to observe true behavior.</t>
  </si>
  <si>
    <t>TC-038</t>
  </si>
  <si>
    <t>max_completion_tokens cap (32000)</t>
  </si>
  <si>
    <t>Call with max_completion_tokens = 99999.</t>
  </si>
  <si>
    <t>400 invalid request, or capped at 32000.</t>
  </si>
  <si>
    <t>402 insufficient_balance returned instead.</t>
  </si>
  <si>
    <t>Needs a funded key.</t>
  </si>
  <si>
    <t>TC-039</t>
  </si>
  <si>
    <t>max_tokens vs max_completion_tokens precedence</t>
  </si>
  <si>
    <t>Call with both parameters set to different values.</t>
  </si>
  <si>
    <t>max_completion_tokens takes precedence, per docs.</t>
  </si>
  <si>
    <t>Not independently exercised (same balance-check blocker).</t>
  </si>
  <si>
    <t>TC-040</t>
  </si>
  <si>
    <t>Corrupted / empty / password-protected attachment via API</t>
  </si>
  <si>
    <t>Send attachments (corrupted PDF, empty file, password-protected PDF) as base64 via the attachments param.</t>
  </si>
  <si>
    <t>400 invalid request for undecodable content, per docs.</t>
  </si>
  <si>
    <t>All three returned 402 insufficient_balance — same response as a normal request.</t>
  </si>
  <si>
    <t>Cannot distinguish attachment validation from the balance gate with a zero-balance key.</t>
  </si>
  <si>
    <t>TC-041</t>
  </si>
  <si>
    <t>Rate limit: 60 requests/minute</t>
  </si>
  <si>
    <t>Fire a burst of ~70 rapid requests within a minute.</t>
  </si>
  <si>
    <t>429 once the limit is exceeded, per docs.</t>
  </si>
  <si>
    <t>57x HTTP 402, 13x generic 'Failed to fetch' with no HTTP status; no clean 429 observed.</t>
  </si>
  <si>
    <t>Inconclusive</t>
  </si>
  <si>
    <t>Browser's own per-origin connection limits confound this test; needs a funded key + non-browser HTTP client (curl/Python).</t>
  </si>
  <si>
    <t>TC-042</t>
  </si>
  <si>
    <t>Concurrency limit: 8 concurrent requests</t>
  </si>
  <si>
    <t>Fire 15 requests concurrently via Promise.all.</t>
  </si>
  <si>
    <t>429 for requests beyond the concurrent limit, per docs.</t>
  </si>
  <si>
    <t>All 15 returned 402; no 429 observed.</t>
  </si>
  <si>
    <t>Same cause as TC-041.</t>
  </si>
  <si>
    <t>TC-043</t>
  </si>
  <si>
    <t>Non-streaming response schema</t>
  </si>
  <si>
    <t>Make a successful (billable) non-streaming call and validate the response shape.</t>
  </si>
  <si>
    <t>Matches documented schema incl. usage block.</t>
  </si>
  <si>
    <t>Not tested — no available key could reach generation.</t>
  </si>
  <si>
    <t>TC-044</t>
  </si>
  <si>
    <t>Streaming response schema + usage accounting</t>
  </si>
  <si>
    <t>Make a successful streaming call; confirm usage is included on the final chunk.</t>
  </si>
  <si>
    <t>Matches documented SSE schema; usage present on final chunk.</t>
  </si>
  <si>
    <t>TC-045</t>
  </si>
  <si>
    <t>Negative / Boundary Testing</t>
  </si>
  <si>
    <t>Blank Name field in Account Settings</t>
  </si>
  <si>
    <t>Clear the Name field and click Save Profile.</t>
  </si>
  <si>
    <t>Validation error, or successful save.</t>
  </si>
  <si>
    <t>No validation error shown; avatar optimistically blanked, but no network request was sent and the change did not persist after reload.</t>
  </si>
  <si>
    <t>Fail</t>
  </si>
  <si>
    <t>Low</t>
  </si>
  <si>
    <t>Misleading UI state rather than a real data-integrity issue; recommend a real validation message or disabling Save on empty input.</t>
  </si>
  <si>
    <t>TC-046</t>
  </si>
  <si>
    <t>Invalid email format in Settings</t>
  </si>
  <si>
    <t>Enter a malformed email address and attempt to save.</t>
  </si>
  <si>
    <t>Validation error blocking save.</t>
  </si>
  <si>
    <t>Not completed — blocked by the Settings-modal bug (TC-049) before this field could be tested.</t>
  </si>
  <si>
    <t>Pending a follow-up pass once TC-049 is addressed or worked around.</t>
  </si>
  <si>
    <t>TC-047</t>
  </si>
  <si>
    <t>Max-length field overflow</t>
  </si>
  <si>
    <t>Enter an extremely long value into Name / other free-text fields.</t>
  </si>
  <si>
    <t>Graceful truncation or validation error.</t>
  </si>
  <si>
    <t>Same blocker as TC-046.</t>
  </si>
  <si>
    <t>TC-048</t>
  </si>
  <si>
    <t>Invalid file type upload</t>
  </si>
  <si>
    <t>Attach a file type the app does not support and send.</t>
  </si>
  <si>
    <t>Clear rejection with a specific error.</t>
  </si>
  <si>
    <t>Blocked by exhausted free-tier quota.</t>
  </si>
  <si>
    <t>TC-049</t>
  </si>
  <si>
    <t>Settings modal reliability across repeated open/close cycles</t>
  </si>
  <si>
    <t>Open and close the profile menu / Settings / Memory panels several times in one page load, then click Settings again.</t>
  </si>
  <si>
    <t>Settings modal opens reliably every time.</t>
  </si>
  <si>
    <t>After a handful of cycles, clicking Settings silently fails to open any modal — no dialog, no console error. A full page reload restores normal behavior.</t>
  </si>
  <si>
    <t>Medium</t>
  </si>
  <si>
    <t>Reproduced 3 times this session. Blocked further Settings-field testing (TC-046, TC-047) within the available time.</t>
  </si>
  <si>
    <t>TC-050</t>
  </si>
  <si>
    <t>Billing 'Add Balance' negative testing</t>
  </si>
  <si>
    <t>Attempt blank/invalid inputs on the Add Balance flow.</t>
  </si>
  <si>
    <t>Graceful validation.</t>
  </si>
  <si>
    <t>This flow leads directly into real payment; the tester does not complete purchases on a user's behalf.</t>
  </si>
  <si>
    <t>Thaura Web App — Manual Testing Project</t>
  </si>
  <si>
    <t>Test execution summary — generated from the Test Cases sheet</t>
  </si>
  <si>
    <t>Target: https://thaura.ai/  |  Tester: Claude (Cowork)  |  Date: September 13–14, 2026</t>
  </si>
  <si>
    <t>Overall Status Breakdown</t>
  </si>
  <si>
    <t>Count</t>
  </si>
  <si>
    <t>Total test cases</t>
  </si>
  <si>
    <t>Breakdown by Category</t>
  </si>
  <si>
    <t>Total</t>
  </si>
  <si>
    <t>Key Takeaways</t>
  </si>
  <si>
    <t>•</t>
  </si>
  <si>
    <t>No working quota bypass was found across any tested vector (multi-tab, reload, direct API call, or API key).</t>
  </si>
  <si>
    <t>Developer API auth (401) and structural validation (400) match the documented contract exactly, even on a zero-balance key.</t>
  </si>
  <si>
    <t>Numeric boundary validation, rate limiting, and full response-schema checks on the Developer API need a funded key to test conclusively.</t>
  </si>
  <si>
    <t>File upload and Memory/Incognito testing are fully blocked until the 5-hour free-tier quota resets.</t>
  </si>
  <si>
    <t>One reproducible UI bug found: the Settings modal stops opening after repeated open/close cycles (TC-049); a page reload is the only workaround found.</t>
  </si>
  <si>
    <t>#</t>
  </si>
  <si>
    <t>Area</t>
  </si>
  <si>
    <t>Related Test ID(s)</t>
  </si>
  <si>
    <t>Finding</t>
  </si>
  <si>
    <t>Recommendation</t>
  </si>
  <si>
    <t>Test scope</t>
  </si>
  <si>
    <t>Info</t>
  </si>
  <si>
    <t>Test brief assumed a 5-messages-per-2-hours Free limit; the live product documents and enforces 5 messages per 5 hours (pricing page, in-app paywall, and API error all agree).</t>
  </si>
  <si>
    <t>Update the test brief's assumed limit to 5h; no product change needed.</t>
  </si>
  <si>
    <t>UI Reliability</t>
  </si>
  <si>
    <t>Settings modal stops opening after a handful of open/close cycles of profile menu panels in one page load; no console error, silent failure.</t>
  </si>
  <si>
    <t>File with engineering; likely a stuck modal/portal state. Reload is the only workaround found.</t>
  </si>
  <si>
    <t>UI Reliability / UX</t>
  </si>
  <si>
    <t>Saving a blank Name shows no validation error and optimistically blanks the avatar, but nothing is actually sent or persisted.</t>
  </si>
  <si>
    <t>Add real validation messaging or disable Save on empty input, instead of an optimistic UI update for a save that silently no-ops.</t>
  </si>
  <si>
    <t>API Documentation</t>
  </si>
  <si>
    <t>The 402 error requires a minimum balance of $0.10, which is not stated in the public API docs.</t>
  </si>
  <si>
    <t>Document the $0.10 minimum balance requirement alongside the pricing info.</t>
  </si>
  <si>
    <t>API Key Hygiene</t>
  </si>
  <si>
    <t>Created API keys are shown in full and unmasked indefinitely in Settings → API, rather than shown once at creation and masked afterward.</t>
  </si>
  <si>
    <t>Consider masking key values after initial creation, matching common API platform conventions.</t>
  </si>
  <si>
    <t>Verifiability</t>
  </si>
  <si>
    <t>Claims such as 'never trains on your data' and full server-side deletion cannot be verified via client-side/black-box testing.</t>
  </si>
  <si>
    <t>Out of scope for this testing method; would require server-side/code audit access.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</si>
</sst>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6"/>
      <color rgb="FF1F2937"/>
      <name val="Arial"/>
      <charset val="1"/>
    </font>
    <font>
      <i/>
      <sz val="10"/>
      <color rgb="FF555555"/>
      <name val="Arial"/>
      <charset val="1"/>
    </font>
    <font>
      <sz val="9"/>
      <color rgb="FF777777"/>
      <name val="Arial"/>
      <charset val="1"/>
    </font>
    <font>
      <b/>
      <sz val="12"/>
      <color rgb="FF1F2937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D4EDDA"/>
        <bgColor rgb="FFD1ECF1"/>
      </patternFill>
    </fill>
    <fill>
      <patternFill patternType="solid">
        <fgColor rgb="FFF5F5F5"/>
        <bgColor rgb="FFFFFFFF"/>
      </patternFill>
    </fill>
    <fill>
      <patternFill patternType="solid">
        <fgColor rgb="FFE2E3E5"/>
        <bgColor rgb="FFD9D9D9"/>
      </patternFill>
    </fill>
    <fill>
      <patternFill patternType="solid">
        <fgColor rgb="FFFFF3CD"/>
        <bgColor rgb="FFF5F5F5"/>
      </patternFill>
    </fill>
    <fill>
      <patternFill patternType="solid">
        <fgColor rgb="FFD1ECF1"/>
        <bgColor rgb="FFD4EDDA"/>
      </patternFill>
    </fill>
    <fill>
      <patternFill patternType="solid">
        <fgColor rgb="FFF8D7DA"/>
        <bgColor rgb="FFE2E3E5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 applyBorder="1" applyAlignment="1">
      <alignment vertical="top" wrapText="1"/>
    </xf>
    <xf numFmtId="0" fontId="0" fillId="0" borderId="0" xfId="0" applyAlignment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0" fontId="7" fillId="0" borderId="0" xfId="0" applyFont="1" applyAlignment="1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/>
    <xf numFmtId="0" fontId="2" fillId="8" borderId="1" xfId="0" applyFont="1" applyFill="1" applyBorder="1" applyAlignment="1"/>
    <xf numFmtId="0" fontId="2" fillId="6" borderId="1" xfId="0" applyFont="1" applyFill="1" applyBorder="1" applyAlignment="1"/>
    <xf numFmtId="0" fontId="2" fillId="5" borderId="1" xfId="0" applyFont="1" applyFill="1" applyBorder="1" applyAlignment="1"/>
    <xf numFmtId="0" fontId="2" fillId="7" borderId="1" xfId="0" applyFont="1" applyFill="1" applyBorder="1" applyAlignment="1"/>
    <xf numFmtId="0" fontId="2" fillId="0" borderId="1" xfId="0" applyFont="1" applyBorder="1" applyAlignment="1"/>
    <xf numFmtId="0" fontId="3" fillId="0" borderId="1" xfId="0" applyFont="1" applyBorder="1" applyAlignment="1"/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/>
    <xf numFmtId="0" fontId="2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2E3E5"/>
      <rgbColor rgb="FF777777"/>
      <rgbColor rgb="FF9999FF"/>
      <rgbColor rgb="FF993366"/>
      <rgbColor rgb="FFFFF3CD"/>
      <rgbColor rgb="FFD1EC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D4EDDA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2" name="TestCases" displayName="TestCases" ref="A1:I51" totalsRowShown="0">
  <autoFilter ref="A1:I51"/>
  <tableColumns count="9">
    <tableColumn id="1" name="Test ID"/>
    <tableColumn id="2" name="Category"/>
    <tableColumn id="3" name="Test Case"/>
    <tableColumn id="4" name="Steps"/>
    <tableColumn id="5" name="Expected Result"/>
    <tableColumn id="6" name="Actual Result"/>
    <tableColumn id="7" name="Status"/>
    <tableColumn id="8" name="Severity"/>
    <tableColumn id="9" name="Notes / Evidenc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1" name="Findings" displayName="Findings" ref="A1:F7" totalsRowShown="0">
  <autoFilter ref="A1:F7"/>
  <tableColumns count="6">
    <tableColumn id="1" name="#"/>
    <tableColumn id="2" name="Area"/>
    <tableColumn id="3" name="Severity"/>
    <tableColumn id="4" name="Related Test ID(s)"/>
    <tableColumn id="5" name="Finding"/>
    <tableColumn id="6" name="Recommendation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1"/>
  <sheetViews>
    <sheetView tabSelected="1"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0" style="2" customWidth="1"/>
    <col min="2" max="2" width="22" style="2" customWidth="1"/>
    <col min="3" max="3" width="30" style="2" customWidth="1"/>
    <col min="4" max="4" width="34" style="2" customWidth="1"/>
    <col min="5" max="6" width="30" style="2" customWidth="1"/>
    <col min="7" max="7" width="12" style="2" customWidth="1"/>
    <col min="8" max="8" width="10" style="2" customWidth="1"/>
    <col min="9" max="9" width="40" style="2" customWidth="1"/>
  </cols>
  <sheetData>
    <row r="1" spans="1:9" ht="21.7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ht="45.75" customHeight="1" x14ac:dyDescent="0.25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5" t="s">
        <v>15</v>
      </c>
      <c r="H2" s="6" t="s">
        <v>16</v>
      </c>
      <c r="I2" s="4" t="s">
        <v>17</v>
      </c>
    </row>
    <row r="3" spans="1:9" ht="45.75" customHeight="1" x14ac:dyDescent="0.25">
      <c r="A3" s="4" t="s">
        <v>18</v>
      </c>
      <c r="B3" s="4" t="s">
        <v>10</v>
      </c>
      <c r="C3" s="4" t="s">
        <v>19</v>
      </c>
      <c r="D3" s="4" t="s">
        <v>20</v>
      </c>
      <c r="E3" s="4" t="s">
        <v>21</v>
      </c>
      <c r="F3" s="4" t="s">
        <v>22</v>
      </c>
      <c r="G3" s="5" t="s">
        <v>15</v>
      </c>
      <c r="H3" s="6" t="s">
        <v>16</v>
      </c>
      <c r="I3" s="4" t="s">
        <v>23</v>
      </c>
    </row>
    <row r="4" spans="1:9" ht="45.75" customHeight="1" x14ac:dyDescent="0.25">
      <c r="A4" s="4" t="s">
        <v>24</v>
      </c>
      <c r="B4" s="4" t="s">
        <v>10</v>
      </c>
      <c r="C4" s="4" t="s">
        <v>25</v>
      </c>
      <c r="D4" s="4" t="s">
        <v>26</v>
      </c>
      <c r="E4" s="4" t="s">
        <v>27</v>
      </c>
      <c r="F4" s="4" t="s">
        <v>28</v>
      </c>
      <c r="G4" s="5" t="s">
        <v>15</v>
      </c>
      <c r="H4" s="6" t="s">
        <v>16</v>
      </c>
      <c r="I4" s="4"/>
    </row>
    <row r="5" spans="1:9" ht="45.75" customHeight="1" x14ac:dyDescent="0.25">
      <c r="A5" s="4" t="s">
        <v>29</v>
      </c>
      <c r="B5" s="4" t="s">
        <v>10</v>
      </c>
      <c r="C5" s="4" t="s">
        <v>30</v>
      </c>
      <c r="D5" s="4" t="s">
        <v>31</v>
      </c>
      <c r="E5" s="4" t="s">
        <v>32</v>
      </c>
      <c r="F5" s="4" t="s">
        <v>33</v>
      </c>
      <c r="G5" s="5" t="s">
        <v>15</v>
      </c>
      <c r="H5" s="6" t="s">
        <v>16</v>
      </c>
      <c r="I5" s="4"/>
    </row>
    <row r="6" spans="1:9" ht="45.75" customHeight="1" x14ac:dyDescent="0.25">
      <c r="A6" s="4" t="s">
        <v>34</v>
      </c>
      <c r="B6" s="4" t="s">
        <v>10</v>
      </c>
      <c r="C6" s="4" t="s">
        <v>35</v>
      </c>
      <c r="D6" s="4" t="s">
        <v>36</v>
      </c>
      <c r="E6" s="4" t="s">
        <v>37</v>
      </c>
      <c r="F6" s="4" t="s">
        <v>38</v>
      </c>
      <c r="G6" s="7" t="s">
        <v>39</v>
      </c>
      <c r="H6" s="6" t="s">
        <v>16</v>
      </c>
      <c r="I6" s="4" t="s">
        <v>40</v>
      </c>
    </row>
    <row r="7" spans="1:9" ht="45.75" customHeight="1" x14ac:dyDescent="0.25">
      <c r="A7" s="4" t="s">
        <v>41</v>
      </c>
      <c r="B7" s="4" t="s">
        <v>10</v>
      </c>
      <c r="C7" s="4" t="s">
        <v>42</v>
      </c>
      <c r="D7" s="4" t="s">
        <v>43</v>
      </c>
      <c r="E7" s="4" t="s">
        <v>44</v>
      </c>
      <c r="F7" s="4" t="s">
        <v>38</v>
      </c>
      <c r="G7" s="7" t="s">
        <v>39</v>
      </c>
      <c r="H7" s="6" t="s">
        <v>16</v>
      </c>
      <c r="I7" s="4" t="s">
        <v>45</v>
      </c>
    </row>
    <row r="8" spans="1:9" ht="45.75" customHeight="1" x14ac:dyDescent="0.25">
      <c r="A8" s="4" t="s">
        <v>46</v>
      </c>
      <c r="B8" s="4" t="s">
        <v>47</v>
      </c>
      <c r="C8" s="4" t="s">
        <v>48</v>
      </c>
      <c r="D8" s="4" t="s">
        <v>49</v>
      </c>
      <c r="E8" s="4" t="s">
        <v>50</v>
      </c>
      <c r="F8" s="4" t="s">
        <v>51</v>
      </c>
      <c r="G8" s="5" t="s">
        <v>15</v>
      </c>
      <c r="H8" s="6" t="s">
        <v>16</v>
      </c>
      <c r="I8" s="4"/>
    </row>
    <row r="9" spans="1:9" ht="45.75" customHeight="1" x14ac:dyDescent="0.25">
      <c r="A9" s="4" t="s">
        <v>52</v>
      </c>
      <c r="B9" s="4" t="s">
        <v>47</v>
      </c>
      <c r="C9" s="4" t="s">
        <v>53</v>
      </c>
      <c r="D9" s="4" t="s">
        <v>54</v>
      </c>
      <c r="E9" s="4" t="s">
        <v>55</v>
      </c>
      <c r="F9" s="4" t="s">
        <v>56</v>
      </c>
      <c r="G9" s="5" t="s">
        <v>15</v>
      </c>
      <c r="H9" s="6" t="s">
        <v>16</v>
      </c>
      <c r="I9" s="4" t="s">
        <v>57</v>
      </c>
    </row>
    <row r="10" spans="1:9" ht="45.75" customHeight="1" x14ac:dyDescent="0.25">
      <c r="A10" s="4" t="s">
        <v>58</v>
      </c>
      <c r="B10" s="4" t="s">
        <v>47</v>
      </c>
      <c r="C10" s="4" t="s">
        <v>59</v>
      </c>
      <c r="D10" s="4" t="s">
        <v>60</v>
      </c>
      <c r="E10" s="4" t="s">
        <v>61</v>
      </c>
      <c r="F10" s="4" t="s">
        <v>62</v>
      </c>
      <c r="G10" s="5" t="s">
        <v>15</v>
      </c>
      <c r="H10" s="6" t="s">
        <v>16</v>
      </c>
      <c r="I10" s="4" t="s">
        <v>63</v>
      </c>
    </row>
    <row r="11" spans="1:9" ht="45.75" customHeight="1" x14ac:dyDescent="0.25">
      <c r="A11" s="4" t="s">
        <v>64</v>
      </c>
      <c r="B11" s="4" t="s">
        <v>47</v>
      </c>
      <c r="C11" s="4" t="s">
        <v>65</v>
      </c>
      <c r="D11" s="4" t="s">
        <v>66</v>
      </c>
      <c r="E11" s="4" t="s">
        <v>67</v>
      </c>
      <c r="F11" s="4" t="s">
        <v>68</v>
      </c>
      <c r="G11" s="7" t="s">
        <v>39</v>
      </c>
      <c r="H11" s="6" t="s">
        <v>16</v>
      </c>
      <c r="I11" s="4" t="s">
        <v>69</v>
      </c>
    </row>
    <row r="12" spans="1:9" ht="45.75" customHeight="1" x14ac:dyDescent="0.25">
      <c r="A12" s="4" t="s">
        <v>70</v>
      </c>
      <c r="B12" s="4" t="s">
        <v>47</v>
      </c>
      <c r="C12" s="4" t="s">
        <v>71</v>
      </c>
      <c r="D12" s="4" t="s">
        <v>72</v>
      </c>
      <c r="E12" s="4" t="s">
        <v>73</v>
      </c>
      <c r="F12" s="4" t="s">
        <v>74</v>
      </c>
      <c r="G12" s="5" t="s">
        <v>15</v>
      </c>
      <c r="H12" s="6" t="s">
        <v>16</v>
      </c>
      <c r="I12" s="4" t="s">
        <v>75</v>
      </c>
    </row>
    <row r="13" spans="1:9" ht="45.75" customHeight="1" x14ac:dyDescent="0.25">
      <c r="A13" s="4" t="s">
        <v>76</v>
      </c>
      <c r="B13" s="4" t="s">
        <v>47</v>
      </c>
      <c r="C13" s="4" t="s">
        <v>77</v>
      </c>
      <c r="D13" s="4" t="s">
        <v>78</v>
      </c>
      <c r="E13" s="4" t="s">
        <v>73</v>
      </c>
      <c r="F13" s="4" t="s">
        <v>79</v>
      </c>
      <c r="G13" s="5" t="s">
        <v>15</v>
      </c>
      <c r="H13" s="6" t="s">
        <v>16</v>
      </c>
      <c r="I13" s="4" t="s">
        <v>75</v>
      </c>
    </row>
    <row r="14" spans="1:9" ht="45.75" customHeight="1" x14ac:dyDescent="0.25">
      <c r="A14" s="4" t="s">
        <v>80</v>
      </c>
      <c r="B14" s="4" t="s">
        <v>47</v>
      </c>
      <c r="C14" s="4" t="s">
        <v>81</v>
      </c>
      <c r="D14" s="4" t="s">
        <v>82</v>
      </c>
      <c r="E14" s="4" t="s">
        <v>73</v>
      </c>
      <c r="F14" s="4" t="s">
        <v>83</v>
      </c>
      <c r="G14" s="5" t="s">
        <v>15</v>
      </c>
      <c r="H14" s="6" t="s">
        <v>16</v>
      </c>
      <c r="I14" s="4" t="s">
        <v>84</v>
      </c>
    </row>
    <row r="15" spans="1:9" ht="45.75" customHeight="1" x14ac:dyDescent="0.25">
      <c r="A15" s="4" t="s">
        <v>85</v>
      </c>
      <c r="B15" s="4" t="s">
        <v>47</v>
      </c>
      <c r="C15" s="4" t="s">
        <v>86</v>
      </c>
      <c r="D15" s="4" t="s">
        <v>87</v>
      </c>
      <c r="E15" s="4" t="s">
        <v>88</v>
      </c>
      <c r="F15" s="4" t="s">
        <v>89</v>
      </c>
      <c r="G15" s="5" t="s">
        <v>15</v>
      </c>
      <c r="H15" s="6" t="s">
        <v>16</v>
      </c>
      <c r="I15" s="4" t="s">
        <v>90</v>
      </c>
    </row>
    <row r="16" spans="1:9" ht="45.75" customHeight="1" x14ac:dyDescent="0.25">
      <c r="A16" s="4" t="s">
        <v>91</v>
      </c>
      <c r="B16" s="4" t="s">
        <v>92</v>
      </c>
      <c r="C16" s="4" t="s">
        <v>93</v>
      </c>
      <c r="D16" s="4" t="s">
        <v>94</v>
      </c>
      <c r="E16" s="4" t="s">
        <v>95</v>
      </c>
      <c r="F16" s="4" t="s">
        <v>38</v>
      </c>
      <c r="G16" s="8" t="s">
        <v>96</v>
      </c>
      <c r="H16" s="6" t="s">
        <v>16</v>
      </c>
      <c r="I16" s="4" t="s">
        <v>97</v>
      </c>
    </row>
    <row r="17" spans="1:9" ht="45.75" customHeight="1" x14ac:dyDescent="0.25">
      <c r="A17" s="4" t="s">
        <v>98</v>
      </c>
      <c r="B17" s="4" t="s">
        <v>92</v>
      </c>
      <c r="C17" s="4" t="s">
        <v>99</v>
      </c>
      <c r="D17" s="4" t="s">
        <v>100</v>
      </c>
      <c r="E17" s="4" t="s">
        <v>101</v>
      </c>
      <c r="F17" s="4" t="s">
        <v>38</v>
      </c>
      <c r="G17" s="8" t="s">
        <v>96</v>
      </c>
      <c r="H17" s="6" t="s">
        <v>16</v>
      </c>
      <c r="I17" s="4" t="s">
        <v>102</v>
      </c>
    </row>
    <row r="18" spans="1:9" ht="45.75" customHeight="1" x14ac:dyDescent="0.25">
      <c r="A18" s="4" t="s">
        <v>103</v>
      </c>
      <c r="B18" s="4" t="s">
        <v>92</v>
      </c>
      <c r="C18" s="4" t="s">
        <v>104</v>
      </c>
      <c r="D18" s="4" t="s">
        <v>105</v>
      </c>
      <c r="E18" s="4" t="s">
        <v>106</v>
      </c>
      <c r="F18" s="4" t="s">
        <v>38</v>
      </c>
      <c r="G18" s="8" t="s">
        <v>96</v>
      </c>
      <c r="H18" s="6" t="s">
        <v>16</v>
      </c>
      <c r="I18" s="4" t="s">
        <v>102</v>
      </c>
    </row>
    <row r="19" spans="1:9" ht="45.75" customHeight="1" x14ac:dyDescent="0.25">
      <c r="A19" s="4" t="s">
        <v>107</v>
      </c>
      <c r="B19" s="4" t="s">
        <v>92</v>
      </c>
      <c r="C19" s="4" t="s">
        <v>108</v>
      </c>
      <c r="D19" s="4" t="s">
        <v>109</v>
      </c>
      <c r="E19" s="4" t="s">
        <v>110</v>
      </c>
      <c r="F19" s="4" t="s">
        <v>111</v>
      </c>
      <c r="G19" s="8" t="s">
        <v>96</v>
      </c>
      <c r="H19" s="6" t="s">
        <v>16</v>
      </c>
      <c r="I19" s="4" t="s">
        <v>112</v>
      </c>
    </row>
    <row r="20" spans="1:9" ht="45.75" customHeight="1" x14ac:dyDescent="0.25">
      <c r="A20" s="4" t="s">
        <v>113</v>
      </c>
      <c r="B20" s="4" t="s">
        <v>92</v>
      </c>
      <c r="C20" s="4" t="s">
        <v>114</v>
      </c>
      <c r="D20" s="4" t="s">
        <v>115</v>
      </c>
      <c r="E20" s="4" t="s">
        <v>116</v>
      </c>
      <c r="F20" s="4" t="s">
        <v>117</v>
      </c>
      <c r="G20" s="8" t="s">
        <v>96</v>
      </c>
      <c r="H20" s="6" t="s">
        <v>16</v>
      </c>
      <c r="I20" s="4" t="s">
        <v>118</v>
      </c>
    </row>
    <row r="21" spans="1:9" ht="45.75" customHeight="1" x14ac:dyDescent="0.25">
      <c r="A21" s="4" t="s">
        <v>119</v>
      </c>
      <c r="B21" s="4" t="s">
        <v>92</v>
      </c>
      <c r="C21" s="4" t="s">
        <v>120</v>
      </c>
      <c r="D21" s="4" t="s">
        <v>121</v>
      </c>
      <c r="E21" s="4" t="s">
        <v>122</v>
      </c>
      <c r="F21" s="4" t="s">
        <v>38</v>
      </c>
      <c r="G21" s="8" t="s">
        <v>96</v>
      </c>
      <c r="H21" s="6" t="s">
        <v>16</v>
      </c>
      <c r="I21" s="4" t="s">
        <v>102</v>
      </c>
    </row>
    <row r="22" spans="1:9" ht="45.75" customHeight="1" x14ac:dyDescent="0.25">
      <c r="A22" s="4" t="s">
        <v>123</v>
      </c>
      <c r="B22" s="4" t="s">
        <v>92</v>
      </c>
      <c r="C22" s="4" t="s">
        <v>124</v>
      </c>
      <c r="D22" s="4" t="s">
        <v>125</v>
      </c>
      <c r="E22" s="4" t="s">
        <v>126</v>
      </c>
      <c r="F22" s="4" t="s">
        <v>38</v>
      </c>
      <c r="G22" s="8" t="s">
        <v>96</v>
      </c>
      <c r="H22" s="6" t="s">
        <v>16</v>
      </c>
      <c r="I22" s="4" t="s">
        <v>127</v>
      </c>
    </row>
    <row r="23" spans="1:9" ht="45.75" customHeight="1" x14ac:dyDescent="0.25">
      <c r="A23" s="4" t="s">
        <v>128</v>
      </c>
      <c r="B23" s="4" t="s">
        <v>92</v>
      </c>
      <c r="C23" s="4" t="s">
        <v>129</v>
      </c>
      <c r="D23" s="4" t="s">
        <v>130</v>
      </c>
      <c r="E23" s="4" t="s">
        <v>131</v>
      </c>
      <c r="F23" s="4" t="s">
        <v>38</v>
      </c>
      <c r="G23" s="7" t="s">
        <v>39</v>
      </c>
      <c r="H23" s="6" t="s">
        <v>16</v>
      </c>
      <c r="I23" s="4" t="s">
        <v>132</v>
      </c>
    </row>
    <row r="24" spans="1:9" ht="45.75" customHeight="1" x14ac:dyDescent="0.25">
      <c r="A24" s="4" t="s">
        <v>133</v>
      </c>
      <c r="B24" s="4" t="s">
        <v>134</v>
      </c>
      <c r="C24" s="4" t="s">
        <v>135</v>
      </c>
      <c r="D24" s="4" t="s">
        <v>136</v>
      </c>
      <c r="E24" s="4" t="s">
        <v>137</v>
      </c>
      <c r="F24" s="4" t="s">
        <v>38</v>
      </c>
      <c r="G24" s="8" t="s">
        <v>96</v>
      </c>
      <c r="H24" s="6" t="s">
        <v>16</v>
      </c>
      <c r="I24" s="4" t="s">
        <v>138</v>
      </c>
    </row>
    <row r="25" spans="1:9" ht="45.75" customHeight="1" x14ac:dyDescent="0.25">
      <c r="A25" s="4" t="s">
        <v>139</v>
      </c>
      <c r="B25" s="4" t="s">
        <v>134</v>
      </c>
      <c r="C25" s="4" t="s">
        <v>140</v>
      </c>
      <c r="D25" s="4" t="s">
        <v>141</v>
      </c>
      <c r="E25" s="4" t="s">
        <v>142</v>
      </c>
      <c r="F25" s="4" t="s">
        <v>38</v>
      </c>
      <c r="G25" s="8" t="s">
        <v>96</v>
      </c>
      <c r="H25" s="6" t="s">
        <v>16</v>
      </c>
      <c r="I25" s="4" t="s">
        <v>143</v>
      </c>
    </row>
    <row r="26" spans="1:9" ht="45.75" customHeight="1" x14ac:dyDescent="0.25">
      <c r="A26" s="4" t="s">
        <v>144</v>
      </c>
      <c r="B26" s="4" t="s">
        <v>134</v>
      </c>
      <c r="C26" s="4" t="s">
        <v>145</v>
      </c>
      <c r="D26" s="4" t="s">
        <v>146</v>
      </c>
      <c r="E26" s="4" t="s">
        <v>147</v>
      </c>
      <c r="F26" s="4" t="s">
        <v>38</v>
      </c>
      <c r="G26" s="8" t="s">
        <v>96</v>
      </c>
      <c r="H26" s="6" t="s">
        <v>16</v>
      </c>
      <c r="I26" s="4" t="s">
        <v>143</v>
      </c>
    </row>
    <row r="27" spans="1:9" ht="45.75" customHeight="1" x14ac:dyDescent="0.25">
      <c r="A27" s="4" t="s">
        <v>148</v>
      </c>
      <c r="B27" s="4" t="s">
        <v>134</v>
      </c>
      <c r="C27" s="4" t="s">
        <v>149</v>
      </c>
      <c r="D27" s="4" t="s">
        <v>150</v>
      </c>
      <c r="E27" s="4" t="s">
        <v>151</v>
      </c>
      <c r="F27" s="4" t="s">
        <v>152</v>
      </c>
      <c r="G27" s="5" t="s">
        <v>15</v>
      </c>
      <c r="H27" s="6" t="s">
        <v>16</v>
      </c>
      <c r="I27" s="4"/>
    </row>
    <row r="28" spans="1:9" ht="45.75" customHeight="1" x14ac:dyDescent="0.25">
      <c r="A28" s="4" t="s">
        <v>153</v>
      </c>
      <c r="B28" s="4" t="s">
        <v>134</v>
      </c>
      <c r="C28" s="4" t="s">
        <v>154</v>
      </c>
      <c r="D28" s="4" t="s">
        <v>155</v>
      </c>
      <c r="E28" s="4" t="s">
        <v>156</v>
      </c>
      <c r="F28" s="4" t="s">
        <v>157</v>
      </c>
      <c r="G28" s="9" t="s">
        <v>16</v>
      </c>
      <c r="H28" s="6" t="s">
        <v>16</v>
      </c>
      <c r="I28" s="4" t="s">
        <v>158</v>
      </c>
    </row>
    <row r="29" spans="1:9" ht="45.75" customHeight="1" x14ac:dyDescent="0.25">
      <c r="A29" s="4" t="s">
        <v>159</v>
      </c>
      <c r="B29" s="4" t="s">
        <v>160</v>
      </c>
      <c r="C29" s="4" t="s">
        <v>161</v>
      </c>
      <c r="D29" s="4" t="s">
        <v>162</v>
      </c>
      <c r="E29" s="4" t="s">
        <v>163</v>
      </c>
      <c r="F29" s="4" t="s">
        <v>164</v>
      </c>
      <c r="G29" s="5" t="s">
        <v>15</v>
      </c>
      <c r="H29" s="6" t="s">
        <v>16</v>
      </c>
      <c r="I29" s="4"/>
    </row>
    <row r="30" spans="1:9" ht="45.75" customHeight="1" x14ac:dyDescent="0.25">
      <c r="A30" s="4" t="s">
        <v>165</v>
      </c>
      <c r="B30" s="4" t="s">
        <v>160</v>
      </c>
      <c r="C30" s="4" t="s">
        <v>166</v>
      </c>
      <c r="D30" s="4" t="s">
        <v>167</v>
      </c>
      <c r="E30" s="4" t="s">
        <v>163</v>
      </c>
      <c r="F30" s="4" t="s">
        <v>163</v>
      </c>
      <c r="G30" s="5" t="s">
        <v>15</v>
      </c>
      <c r="H30" s="6" t="s">
        <v>16</v>
      </c>
      <c r="I30" s="4"/>
    </row>
    <row r="31" spans="1:9" ht="45.75" customHeight="1" x14ac:dyDescent="0.25">
      <c r="A31" s="4" t="s">
        <v>168</v>
      </c>
      <c r="B31" s="4" t="s">
        <v>160</v>
      </c>
      <c r="C31" s="4" t="s">
        <v>169</v>
      </c>
      <c r="D31" s="4" t="s">
        <v>170</v>
      </c>
      <c r="E31" s="4" t="s">
        <v>163</v>
      </c>
      <c r="F31" s="4" t="s">
        <v>163</v>
      </c>
      <c r="G31" s="5" t="s">
        <v>15</v>
      </c>
      <c r="H31" s="6" t="s">
        <v>16</v>
      </c>
      <c r="I31" s="4"/>
    </row>
    <row r="32" spans="1:9" ht="45.75" customHeight="1" x14ac:dyDescent="0.25">
      <c r="A32" s="4" t="s">
        <v>171</v>
      </c>
      <c r="B32" s="4" t="s">
        <v>160</v>
      </c>
      <c r="C32" s="4" t="s">
        <v>172</v>
      </c>
      <c r="D32" s="4" t="s">
        <v>173</v>
      </c>
      <c r="E32" s="4" t="s">
        <v>163</v>
      </c>
      <c r="F32" s="4" t="s">
        <v>163</v>
      </c>
      <c r="G32" s="5" t="s">
        <v>15</v>
      </c>
      <c r="H32" s="6" t="s">
        <v>16</v>
      </c>
      <c r="I32" s="4"/>
    </row>
    <row r="33" spans="1:9" ht="45.75" customHeight="1" x14ac:dyDescent="0.25">
      <c r="A33" s="4" t="s">
        <v>174</v>
      </c>
      <c r="B33" s="4" t="s">
        <v>160</v>
      </c>
      <c r="C33" s="4" t="s">
        <v>175</v>
      </c>
      <c r="D33" s="4" t="s">
        <v>176</v>
      </c>
      <c r="E33" s="4" t="s">
        <v>177</v>
      </c>
      <c r="F33" s="4" t="s">
        <v>178</v>
      </c>
      <c r="G33" s="5" t="s">
        <v>15</v>
      </c>
      <c r="H33" s="6" t="s">
        <v>16</v>
      </c>
      <c r="I33" s="4" t="s">
        <v>179</v>
      </c>
    </row>
    <row r="34" spans="1:9" ht="45.75" customHeight="1" x14ac:dyDescent="0.25">
      <c r="A34" s="4" t="s">
        <v>180</v>
      </c>
      <c r="B34" s="4" t="s">
        <v>160</v>
      </c>
      <c r="C34" s="4" t="s">
        <v>181</v>
      </c>
      <c r="D34" s="4" t="s">
        <v>182</v>
      </c>
      <c r="E34" s="4" t="s">
        <v>183</v>
      </c>
      <c r="F34" s="4" t="s">
        <v>184</v>
      </c>
      <c r="G34" s="5" t="s">
        <v>15</v>
      </c>
      <c r="H34" s="6" t="s">
        <v>16</v>
      </c>
      <c r="I34" s="4" t="s">
        <v>185</v>
      </c>
    </row>
    <row r="35" spans="1:9" ht="45.75" customHeight="1" x14ac:dyDescent="0.25">
      <c r="A35" s="4" t="s">
        <v>186</v>
      </c>
      <c r="B35" s="4" t="s">
        <v>160</v>
      </c>
      <c r="C35" s="4" t="s">
        <v>187</v>
      </c>
      <c r="D35" s="4" t="s">
        <v>188</v>
      </c>
      <c r="E35" s="4" t="s">
        <v>189</v>
      </c>
      <c r="F35" s="4" t="s">
        <v>190</v>
      </c>
      <c r="G35" s="5" t="s">
        <v>15</v>
      </c>
      <c r="H35" s="6" t="s">
        <v>16</v>
      </c>
      <c r="I35" s="4"/>
    </row>
    <row r="36" spans="1:9" ht="45.75" customHeight="1" x14ac:dyDescent="0.25">
      <c r="A36" s="4" t="s">
        <v>191</v>
      </c>
      <c r="B36" s="4" t="s">
        <v>160</v>
      </c>
      <c r="C36" s="4" t="s">
        <v>192</v>
      </c>
      <c r="D36" s="4" t="s">
        <v>193</v>
      </c>
      <c r="E36" s="4" t="s">
        <v>194</v>
      </c>
      <c r="F36" s="4" t="s">
        <v>195</v>
      </c>
      <c r="G36" s="5" t="s">
        <v>15</v>
      </c>
      <c r="H36" s="6" t="s">
        <v>16</v>
      </c>
      <c r="I36" s="4"/>
    </row>
    <row r="37" spans="1:9" ht="45.75" customHeight="1" x14ac:dyDescent="0.25">
      <c r="A37" s="4" t="s">
        <v>196</v>
      </c>
      <c r="B37" s="4" t="s">
        <v>160</v>
      </c>
      <c r="C37" s="4" t="s">
        <v>197</v>
      </c>
      <c r="D37" s="4" t="s">
        <v>198</v>
      </c>
      <c r="E37" s="4" t="s">
        <v>199</v>
      </c>
      <c r="F37" s="4" t="s">
        <v>200</v>
      </c>
      <c r="G37" s="5" t="s">
        <v>15</v>
      </c>
      <c r="H37" s="6" t="s">
        <v>16</v>
      </c>
      <c r="I37" s="4" t="s">
        <v>201</v>
      </c>
    </row>
    <row r="38" spans="1:9" ht="45.75" customHeight="1" x14ac:dyDescent="0.25">
      <c r="A38" s="4" t="s">
        <v>202</v>
      </c>
      <c r="B38" s="4" t="s">
        <v>160</v>
      </c>
      <c r="C38" s="4" t="s">
        <v>203</v>
      </c>
      <c r="D38" s="4" t="s">
        <v>204</v>
      </c>
      <c r="E38" s="4" t="s">
        <v>205</v>
      </c>
      <c r="F38" s="4" t="s">
        <v>206</v>
      </c>
      <c r="G38" s="8" t="s">
        <v>96</v>
      </c>
      <c r="H38" s="6" t="s">
        <v>16</v>
      </c>
      <c r="I38" s="4" t="s">
        <v>207</v>
      </c>
    </row>
    <row r="39" spans="1:9" ht="45.75" customHeight="1" x14ac:dyDescent="0.25">
      <c r="A39" s="4" t="s">
        <v>208</v>
      </c>
      <c r="B39" s="4" t="s">
        <v>160</v>
      </c>
      <c r="C39" s="4" t="s">
        <v>209</v>
      </c>
      <c r="D39" s="4" t="s">
        <v>210</v>
      </c>
      <c r="E39" s="4" t="s">
        <v>211</v>
      </c>
      <c r="F39" s="4" t="s">
        <v>212</v>
      </c>
      <c r="G39" s="8" t="s">
        <v>96</v>
      </c>
      <c r="H39" s="6" t="s">
        <v>16</v>
      </c>
      <c r="I39" s="4" t="s">
        <v>213</v>
      </c>
    </row>
    <row r="40" spans="1:9" ht="45.75" customHeight="1" x14ac:dyDescent="0.25">
      <c r="A40" s="4" t="s">
        <v>214</v>
      </c>
      <c r="B40" s="4" t="s">
        <v>160</v>
      </c>
      <c r="C40" s="4" t="s">
        <v>215</v>
      </c>
      <c r="D40" s="4" t="s">
        <v>216</v>
      </c>
      <c r="E40" s="4" t="s">
        <v>217</v>
      </c>
      <c r="F40" s="4" t="s">
        <v>218</v>
      </c>
      <c r="G40" s="8" t="s">
        <v>96</v>
      </c>
      <c r="H40" s="6" t="s">
        <v>16</v>
      </c>
      <c r="I40" s="4" t="s">
        <v>213</v>
      </c>
    </row>
    <row r="41" spans="1:9" ht="45.75" customHeight="1" x14ac:dyDescent="0.25">
      <c r="A41" s="4" t="s">
        <v>219</v>
      </c>
      <c r="B41" s="4" t="s">
        <v>160</v>
      </c>
      <c r="C41" s="4" t="s">
        <v>220</v>
      </c>
      <c r="D41" s="4" t="s">
        <v>221</v>
      </c>
      <c r="E41" s="4" t="s">
        <v>222</v>
      </c>
      <c r="F41" s="4" t="s">
        <v>223</v>
      </c>
      <c r="G41" s="8" t="s">
        <v>96</v>
      </c>
      <c r="H41" s="6" t="s">
        <v>16</v>
      </c>
      <c r="I41" s="4" t="s">
        <v>224</v>
      </c>
    </row>
    <row r="42" spans="1:9" ht="45.75" customHeight="1" x14ac:dyDescent="0.25">
      <c r="A42" s="4" t="s">
        <v>225</v>
      </c>
      <c r="B42" s="4" t="s">
        <v>160</v>
      </c>
      <c r="C42" s="4" t="s">
        <v>226</v>
      </c>
      <c r="D42" s="4" t="s">
        <v>227</v>
      </c>
      <c r="E42" s="4" t="s">
        <v>228</v>
      </c>
      <c r="F42" s="4" t="s">
        <v>229</v>
      </c>
      <c r="G42" s="10" t="s">
        <v>230</v>
      </c>
      <c r="H42" s="6" t="s">
        <v>16</v>
      </c>
      <c r="I42" s="4" t="s">
        <v>231</v>
      </c>
    </row>
    <row r="43" spans="1:9" ht="45.75" customHeight="1" x14ac:dyDescent="0.25">
      <c r="A43" s="4" t="s">
        <v>232</v>
      </c>
      <c r="B43" s="4" t="s">
        <v>160</v>
      </c>
      <c r="C43" s="4" t="s">
        <v>233</v>
      </c>
      <c r="D43" s="4" t="s">
        <v>234</v>
      </c>
      <c r="E43" s="4" t="s">
        <v>235</v>
      </c>
      <c r="F43" s="4" t="s">
        <v>236</v>
      </c>
      <c r="G43" s="10" t="s">
        <v>230</v>
      </c>
      <c r="H43" s="6" t="s">
        <v>16</v>
      </c>
      <c r="I43" s="4" t="s">
        <v>237</v>
      </c>
    </row>
    <row r="44" spans="1:9" ht="45.75" customHeight="1" x14ac:dyDescent="0.25">
      <c r="A44" s="4" t="s">
        <v>238</v>
      </c>
      <c r="B44" s="4" t="s">
        <v>160</v>
      </c>
      <c r="C44" s="4" t="s">
        <v>239</v>
      </c>
      <c r="D44" s="4" t="s">
        <v>240</v>
      </c>
      <c r="E44" s="4" t="s">
        <v>241</v>
      </c>
      <c r="F44" s="4" t="s">
        <v>242</v>
      </c>
      <c r="G44" s="8" t="s">
        <v>96</v>
      </c>
      <c r="H44" s="6" t="s">
        <v>16</v>
      </c>
      <c r="I44" s="4" t="s">
        <v>213</v>
      </c>
    </row>
    <row r="45" spans="1:9" ht="45.75" customHeight="1" x14ac:dyDescent="0.25">
      <c r="A45" s="4" t="s">
        <v>243</v>
      </c>
      <c r="B45" s="4" t="s">
        <v>160</v>
      </c>
      <c r="C45" s="4" t="s">
        <v>244</v>
      </c>
      <c r="D45" s="4" t="s">
        <v>245</v>
      </c>
      <c r="E45" s="4" t="s">
        <v>246</v>
      </c>
      <c r="F45" s="4" t="s">
        <v>242</v>
      </c>
      <c r="G45" s="8" t="s">
        <v>96</v>
      </c>
      <c r="H45" s="6" t="s">
        <v>16</v>
      </c>
      <c r="I45" s="4" t="s">
        <v>213</v>
      </c>
    </row>
    <row r="46" spans="1:9" ht="45.75" customHeight="1" x14ac:dyDescent="0.25">
      <c r="A46" s="4" t="s">
        <v>247</v>
      </c>
      <c r="B46" s="4" t="s">
        <v>248</v>
      </c>
      <c r="C46" s="4" t="s">
        <v>249</v>
      </c>
      <c r="D46" s="4" t="s">
        <v>250</v>
      </c>
      <c r="E46" s="4" t="s">
        <v>251</v>
      </c>
      <c r="F46" s="4" t="s">
        <v>252</v>
      </c>
      <c r="G46" s="11" t="s">
        <v>253</v>
      </c>
      <c r="H46" s="12" t="s">
        <v>254</v>
      </c>
      <c r="I46" s="4" t="s">
        <v>255</v>
      </c>
    </row>
    <row r="47" spans="1:9" ht="45.75" customHeight="1" x14ac:dyDescent="0.25">
      <c r="A47" s="4" t="s">
        <v>256</v>
      </c>
      <c r="B47" s="4" t="s">
        <v>248</v>
      </c>
      <c r="C47" s="4" t="s">
        <v>257</v>
      </c>
      <c r="D47" s="4" t="s">
        <v>258</v>
      </c>
      <c r="E47" s="4" t="s">
        <v>259</v>
      </c>
      <c r="F47" s="4" t="s">
        <v>260</v>
      </c>
      <c r="G47" s="7" t="s">
        <v>39</v>
      </c>
      <c r="H47" s="6" t="s">
        <v>16</v>
      </c>
      <c r="I47" s="4" t="s">
        <v>261</v>
      </c>
    </row>
    <row r="48" spans="1:9" ht="45.75" customHeight="1" x14ac:dyDescent="0.25">
      <c r="A48" s="4" t="s">
        <v>262</v>
      </c>
      <c r="B48" s="4" t="s">
        <v>248</v>
      </c>
      <c r="C48" s="4" t="s">
        <v>263</v>
      </c>
      <c r="D48" s="4" t="s">
        <v>264</v>
      </c>
      <c r="E48" s="4" t="s">
        <v>265</v>
      </c>
      <c r="F48" s="4" t="s">
        <v>38</v>
      </c>
      <c r="G48" s="7" t="s">
        <v>39</v>
      </c>
      <c r="H48" s="6" t="s">
        <v>16</v>
      </c>
      <c r="I48" s="4" t="s">
        <v>266</v>
      </c>
    </row>
    <row r="49" spans="1:9" ht="45.75" customHeight="1" x14ac:dyDescent="0.25">
      <c r="A49" s="4" t="s">
        <v>267</v>
      </c>
      <c r="B49" s="4" t="s">
        <v>248</v>
      </c>
      <c r="C49" s="4" t="s">
        <v>268</v>
      </c>
      <c r="D49" s="4" t="s">
        <v>269</v>
      </c>
      <c r="E49" s="4" t="s">
        <v>270</v>
      </c>
      <c r="F49" s="4" t="s">
        <v>38</v>
      </c>
      <c r="G49" s="8" t="s">
        <v>96</v>
      </c>
      <c r="H49" s="6" t="s">
        <v>16</v>
      </c>
      <c r="I49" s="4" t="s">
        <v>271</v>
      </c>
    </row>
    <row r="50" spans="1:9" ht="45.75" customHeight="1" x14ac:dyDescent="0.25">
      <c r="A50" s="4" t="s">
        <v>272</v>
      </c>
      <c r="B50" s="4" t="s">
        <v>248</v>
      </c>
      <c r="C50" s="4" t="s">
        <v>273</v>
      </c>
      <c r="D50" s="4" t="s">
        <v>274</v>
      </c>
      <c r="E50" s="4" t="s">
        <v>275</v>
      </c>
      <c r="F50" s="4" t="s">
        <v>276</v>
      </c>
      <c r="G50" s="11" t="s">
        <v>253</v>
      </c>
      <c r="H50" s="13" t="s">
        <v>277</v>
      </c>
      <c r="I50" s="4" t="s">
        <v>278</v>
      </c>
    </row>
    <row r="51" spans="1:9" ht="45.75" customHeight="1" x14ac:dyDescent="0.25">
      <c r="A51" s="4" t="s">
        <v>279</v>
      </c>
      <c r="B51" s="4" t="s">
        <v>248</v>
      </c>
      <c r="C51" s="4" t="s">
        <v>280</v>
      </c>
      <c r="D51" s="4" t="s">
        <v>281</v>
      </c>
      <c r="E51" s="4" t="s">
        <v>282</v>
      </c>
      <c r="F51" s="4" t="s">
        <v>38</v>
      </c>
      <c r="G51" s="7" t="s">
        <v>39</v>
      </c>
      <c r="H51" s="6" t="s">
        <v>16</v>
      </c>
      <c r="I51" s="4" t="s">
        <v>283</v>
      </c>
    </row>
  </sheetData>
  <pageMargins left="0.3" right="0.3" top="0.4" bottom="0.4" header="0.511811023622047" footer="0.511811023622047"/>
  <pageSetup paperSize="9" fitToHeight="0" orientation="landscape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30"/>
  <sheetViews>
    <sheetView showGridLines="0" zoomScaleNormal="100" workbookViewId="0"/>
  </sheetViews>
  <sheetFormatPr defaultColWidth="8.7109375" defaultRowHeight="15" x14ac:dyDescent="0.25"/>
  <cols>
    <col min="1" max="1" width="26" style="2" customWidth="1"/>
    <col min="2" max="2" width="14" style="2" customWidth="1"/>
    <col min="3" max="3" width="55" style="2" customWidth="1"/>
  </cols>
  <sheetData>
    <row r="1" spans="1:3" ht="19.5" customHeight="1" x14ac:dyDescent="0.3">
      <c r="A1" s="14" t="s">
        <v>284</v>
      </c>
    </row>
    <row r="2" spans="1:3" ht="15" customHeight="1" x14ac:dyDescent="0.25">
      <c r="A2" s="15" t="s">
        <v>285</v>
      </c>
    </row>
    <row r="3" spans="1:3" ht="15" customHeight="1" x14ac:dyDescent="0.25">
      <c r="A3" s="16" t="s">
        <v>286</v>
      </c>
    </row>
    <row r="5" spans="1:3" ht="15" customHeight="1" x14ac:dyDescent="0.25">
      <c r="A5" s="17" t="s">
        <v>287</v>
      </c>
    </row>
    <row r="6" spans="1:3" ht="15" customHeight="1" x14ac:dyDescent="0.25">
      <c r="A6" s="18" t="s">
        <v>6</v>
      </c>
      <c r="B6" s="18" t="s">
        <v>288</v>
      </c>
    </row>
    <row r="7" spans="1:3" ht="15" customHeight="1" x14ac:dyDescent="0.25">
      <c r="A7" s="19" t="s">
        <v>15</v>
      </c>
      <c r="B7" s="9">
        <f>COUNTIF('Test Cases'!$G$2:$G$51,A7)</f>
        <v>21</v>
      </c>
    </row>
    <row r="8" spans="1:3" ht="15" customHeight="1" x14ac:dyDescent="0.25">
      <c r="A8" s="20" t="s">
        <v>253</v>
      </c>
      <c r="B8" s="9">
        <f>COUNTIF('Test Cases'!$G$2:$G$51,A8)</f>
        <v>2</v>
      </c>
    </row>
    <row r="9" spans="1:3" ht="15" customHeight="1" x14ac:dyDescent="0.25">
      <c r="A9" s="21" t="s">
        <v>96</v>
      </c>
      <c r="B9" s="9">
        <f>COUNTIF('Test Cases'!$G$2:$G$51,A9)</f>
        <v>17</v>
      </c>
    </row>
    <row r="10" spans="1:3" ht="15" customHeight="1" x14ac:dyDescent="0.25">
      <c r="A10" s="22" t="s">
        <v>39</v>
      </c>
      <c r="B10" s="9">
        <f>COUNTIF('Test Cases'!$G$2:$G$51,A10)</f>
        <v>7</v>
      </c>
    </row>
    <row r="11" spans="1:3" ht="15" customHeight="1" x14ac:dyDescent="0.25">
      <c r="A11" s="23" t="s">
        <v>230</v>
      </c>
      <c r="B11" s="9">
        <f>COUNTIF('Test Cases'!$G$2:$G$51,A11)</f>
        <v>2</v>
      </c>
    </row>
    <row r="12" spans="1:3" ht="15" customHeight="1" x14ac:dyDescent="0.25">
      <c r="A12" s="24" t="s">
        <v>16</v>
      </c>
      <c r="B12" s="9">
        <f>COUNTIF('Test Cases'!$G$2:$G$51,A12)</f>
        <v>1</v>
      </c>
    </row>
    <row r="13" spans="1:3" ht="15" customHeight="1" x14ac:dyDescent="0.25">
      <c r="A13" s="25" t="s">
        <v>289</v>
      </c>
      <c r="B13" s="9">
        <f>COUNTA('Test Cases'!$A$2:$A$51)</f>
        <v>50</v>
      </c>
    </row>
    <row r="15" spans="1:3" ht="15" customHeight="1" x14ac:dyDescent="0.25">
      <c r="A15" s="17" t="s">
        <v>290</v>
      </c>
    </row>
    <row r="16" spans="1:3" ht="15" customHeight="1" x14ac:dyDescent="0.25">
      <c r="A16" s="18" t="s">
        <v>1</v>
      </c>
      <c r="B16" s="18" t="s">
        <v>291</v>
      </c>
      <c r="C16" s="18" t="s">
        <v>15</v>
      </c>
    </row>
    <row r="17" spans="1:3" ht="15" customHeight="1" x14ac:dyDescent="0.25">
      <c r="A17" s="4" t="s">
        <v>10</v>
      </c>
      <c r="B17" s="26">
        <f>COUNTIF('Test Cases'!$B$2:$B$51,A17)</f>
        <v>6</v>
      </c>
      <c r="C17" s="26">
        <f>COUNTIFS('Test Cases'!$B$2:$B$51,A17,'Test Cases'!$G$2:$G$51,"Pass")</f>
        <v>4</v>
      </c>
    </row>
    <row r="18" spans="1:3" ht="15" customHeight="1" x14ac:dyDescent="0.25">
      <c r="A18" s="4" t="s">
        <v>47</v>
      </c>
      <c r="B18" s="26">
        <f>COUNTIF('Test Cases'!$B$2:$B$51,A18)</f>
        <v>8</v>
      </c>
      <c r="C18" s="26">
        <f>COUNTIFS('Test Cases'!$B$2:$B$51,A18,'Test Cases'!$G$2:$G$51,"Pass")</f>
        <v>7</v>
      </c>
    </row>
    <row r="19" spans="1:3" ht="15" customHeight="1" x14ac:dyDescent="0.25">
      <c r="A19" s="4" t="s">
        <v>92</v>
      </c>
      <c r="B19" s="26">
        <f>COUNTIF('Test Cases'!$B$2:$B$51,A19)</f>
        <v>8</v>
      </c>
      <c r="C19" s="26">
        <f>COUNTIFS('Test Cases'!$B$2:$B$51,A19,'Test Cases'!$G$2:$G$51,"Pass")</f>
        <v>0</v>
      </c>
    </row>
    <row r="20" spans="1:3" ht="15" customHeight="1" x14ac:dyDescent="0.25">
      <c r="A20" s="4" t="s">
        <v>134</v>
      </c>
      <c r="B20" s="26">
        <f>COUNTIF('Test Cases'!$B$2:$B$51,A20)</f>
        <v>5</v>
      </c>
      <c r="C20" s="26">
        <f>COUNTIFS('Test Cases'!$B$2:$B$51,A20,'Test Cases'!$G$2:$G$51,"Pass")</f>
        <v>1</v>
      </c>
    </row>
    <row r="21" spans="1:3" ht="15" customHeight="1" x14ac:dyDescent="0.25">
      <c r="A21" s="4" t="s">
        <v>160</v>
      </c>
      <c r="B21" s="26">
        <f>COUNTIF('Test Cases'!$B$2:$B$51,A21)</f>
        <v>17</v>
      </c>
      <c r="C21" s="26">
        <f>COUNTIFS('Test Cases'!$B$2:$B$51,A21,'Test Cases'!$G$2:$G$51,"Pass")</f>
        <v>9</v>
      </c>
    </row>
    <row r="22" spans="1:3" ht="15" customHeight="1" x14ac:dyDescent="0.25">
      <c r="A22" s="4" t="s">
        <v>248</v>
      </c>
      <c r="B22" s="26">
        <f>COUNTIF('Test Cases'!$B$2:$B$51,A22)</f>
        <v>6</v>
      </c>
      <c r="C22" s="26">
        <f>COUNTIFS('Test Cases'!$B$2:$B$51,A22,'Test Cases'!$G$2:$G$51,"Pass")</f>
        <v>0</v>
      </c>
    </row>
    <row r="25" spans="1:3" ht="15" customHeight="1" x14ac:dyDescent="0.25">
      <c r="A25" s="17" t="s">
        <v>292</v>
      </c>
    </row>
    <row r="26" spans="1:3" ht="30" customHeight="1" x14ac:dyDescent="0.25">
      <c r="A26" s="27" t="s">
        <v>293</v>
      </c>
      <c r="B26" s="1" t="s">
        <v>294</v>
      </c>
      <c r="C26" s="1"/>
    </row>
    <row r="27" spans="1:3" ht="30" customHeight="1" x14ac:dyDescent="0.25">
      <c r="A27" s="27" t="s">
        <v>293</v>
      </c>
      <c r="B27" s="1" t="s">
        <v>295</v>
      </c>
      <c r="C27" s="1"/>
    </row>
    <row r="28" spans="1:3" ht="30" customHeight="1" x14ac:dyDescent="0.25">
      <c r="A28" s="27" t="s">
        <v>293</v>
      </c>
      <c r="B28" s="1" t="s">
        <v>296</v>
      </c>
      <c r="C28" s="1"/>
    </row>
    <row r="29" spans="1:3" ht="30" customHeight="1" x14ac:dyDescent="0.25">
      <c r="A29" s="27" t="s">
        <v>293</v>
      </c>
      <c r="B29" s="1" t="s">
        <v>297</v>
      </c>
      <c r="C29" s="1"/>
    </row>
    <row r="30" spans="1:3" ht="30" customHeight="1" x14ac:dyDescent="0.25">
      <c r="A30" s="27" t="s">
        <v>293</v>
      </c>
      <c r="B30" s="1" t="s">
        <v>298</v>
      </c>
      <c r="C30" s="1"/>
    </row>
  </sheetData>
  <mergeCells count="5">
    <mergeCell ref="B26:C26"/>
    <mergeCell ref="B27:C27"/>
    <mergeCell ref="B28:C28"/>
    <mergeCell ref="B29:C29"/>
    <mergeCell ref="B30:C30"/>
  </mergeCells>
  <pageMargins left="0.75" right="0.75" top="1" bottom="1" header="0.511811023622047" footer="0.511811023622047"/>
  <pageSetup paperSize="9" fitToHeight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7"/>
  <sheetViews>
    <sheetView zoomScaleNormal="100" workbookViewId="0">
      <pane ySplit="1" topLeftCell="A2" activePane="bottomLeft" state="frozen"/>
      <selection pane="bottomLeft" activeCell="D5" sqref="D5"/>
    </sheetView>
  </sheetViews>
  <sheetFormatPr defaultColWidth="8.7109375" defaultRowHeight="15" x14ac:dyDescent="0.25"/>
  <cols>
    <col min="1" max="1" width="5" style="2" customWidth="1"/>
    <col min="2" max="2" width="20" style="2" customWidth="1"/>
    <col min="3" max="3" width="10" style="2" customWidth="1"/>
    <col min="4" max="4" width="16" style="2" customWidth="1"/>
    <col min="5" max="5" width="45" style="2" customWidth="1"/>
    <col min="6" max="6" width="40" style="2" customWidth="1"/>
  </cols>
  <sheetData>
    <row r="1" spans="1:6" ht="23.25" customHeight="1" x14ac:dyDescent="0.25">
      <c r="A1" s="3" t="s">
        <v>299</v>
      </c>
      <c r="B1" s="3" t="s">
        <v>300</v>
      </c>
      <c r="C1" s="3" t="s">
        <v>7</v>
      </c>
      <c r="D1" s="3" t="s">
        <v>301</v>
      </c>
      <c r="E1" s="3" t="s">
        <v>302</v>
      </c>
      <c r="F1" s="3" t="s">
        <v>303</v>
      </c>
    </row>
    <row r="2" spans="1:6" ht="39.75" customHeight="1" x14ac:dyDescent="0.25">
      <c r="A2" s="26">
        <v>1</v>
      </c>
      <c r="B2" s="4" t="s">
        <v>304</v>
      </c>
      <c r="C2" s="28" t="s">
        <v>305</v>
      </c>
      <c r="D2" s="26" t="s">
        <v>16</v>
      </c>
      <c r="E2" s="4" t="s">
        <v>306</v>
      </c>
      <c r="F2" s="4" t="s">
        <v>307</v>
      </c>
    </row>
    <row r="3" spans="1:6" ht="39.75" customHeight="1" x14ac:dyDescent="0.25">
      <c r="A3" s="26">
        <v>2</v>
      </c>
      <c r="B3" s="4" t="s">
        <v>308</v>
      </c>
      <c r="C3" s="13" t="s">
        <v>277</v>
      </c>
      <c r="D3" s="26" t="s">
        <v>272</v>
      </c>
      <c r="E3" s="4" t="s">
        <v>309</v>
      </c>
      <c r="F3" s="4" t="s">
        <v>310</v>
      </c>
    </row>
    <row r="4" spans="1:6" ht="39.75" customHeight="1" x14ac:dyDescent="0.25">
      <c r="A4" s="26">
        <v>3</v>
      </c>
      <c r="B4" s="4" t="s">
        <v>311</v>
      </c>
      <c r="C4" s="12" t="s">
        <v>254</v>
      </c>
      <c r="D4" s="26" t="s">
        <v>247</v>
      </c>
      <c r="E4" s="4" t="s">
        <v>312</v>
      </c>
      <c r="F4" s="4" t="s">
        <v>313</v>
      </c>
    </row>
    <row r="5" spans="1:6" ht="39.75" customHeight="1" x14ac:dyDescent="0.25">
      <c r="A5" s="26">
        <v>4</v>
      </c>
      <c r="B5" s="4" t="s">
        <v>314</v>
      </c>
      <c r="C5" s="12" t="s">
        <v>254</v>
      </c>
      <c r="D5" s="26" t="s">
        <v>174</v>
      </c>
      <c r="E5" s="4" t="s">
        <v>315</v>
      </c>
      <c r="F5" s="4" t="s">
        <v>316</v>
      </c>
    </row>
    <row r="6" spans="1:6" ht="39.75" customHeight="1" x14ac:dyDescent="0.25">
      <c r="A6" s="26">
        <v>5</v>
      </c>
      <c r="B6" s="4" t="s">
        <v>317</v>
      </c>
      <c r="C6" s="12" t="s">
        <v>254</v>
      </c>
      <c r="D6" s="26" t="s">
        <v>16</v>
      </c>
      <c r="E6" s="4" t="s">
        <v>318</v>
      </c>
      <c r="F6" s="4" t="s">
        <v>319</v>
      </c>
    </row>
    <row r="7" spans="1:6" ht="39.75" customHeight="1" x14ac:dyDescent="0.25">
      <c r="A7" s="26">
        <v>6</v>
      </c>
      <c r="B7" s="4" t="s">
        <v>320</v>
      </c>
      <c r="C7" s="28" t="s">
        <v>305</v>
      </c>
      <c r="D7" s="26" t="s">
        <v>153</v>
      </c>
      <c r="E7" s="4" t="s">
        <v>321</v>
      </c>
      <c r="F7" s="4" t="s">
        <v>322</v>
      </c>
    </row>
  </sheetData>
  <pageMargins left="0.3" right="0.3" top="0.4" bottom="0.4" header="0.511811023622047" footer="0.511811023622047"/>
  <pageSetup paperSize="9" fitToHeight="0" orientation="landscape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Test Cases</vt:lpstr>
      <vt:lpstr>Summary</vt:lpstr>
      <vt:lpstr>Findings</vt:lpstr>
      <vt:lpstr>Findings!Print_Titles</vt:lpstr>
      <vt:lpstr>'Test Cases'!Print_Titles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Piyush Das</cp:lastModifiedBy>
  <cp:revision>0</cp:revision>
  <dcterms:created xsi:type="dcterms:W3CDTF">2026-09-13T18:29:43Z</dcterms:created>
  <dcterms:modified xsi:type="dcterms:W3CDTF">2026-09-13T18:33:34Z</dcterms:modified>
  <dc:language>en-US</dc:language>
</cp:coreProperties>
</file>